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70" windowHeight="10120"/>
  </bookViews>
  <sheets>
    <sheet name="工资明细表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EDZ</author>
  </authors>
  <commentList>
    <comment ref="F10" authorId="0">
      <text>
        <r>
          <rPr>
            <b/>
            <sz val="9"/>
            <rFont val="宋体"/>
            <charset val="134"/>
          </rPr>
          <t>2555</t>
        </r>
        <r>
          <rPr>
            <sz val="9"/>
            <rFont val="宋体"/>
            <charset val="134"/>
          </rPr>
          <t xml:space="preserve">
</t>
        </r>
      </text>
    </comment>
    <comment ref="AN14" authorId="0">
      <text>
        <r>
          <rPr>
            <b/>
            <sz val="9"/>
            <rFont val="宋体"/>
            <charset val="134"/>
          </rPr>
          <t>社保3741</t>
        </r>
        <r>
          <rPr>
            <sz val="9"/>
            <rFont val="宋体"/>
            <charset val="134"/>
          </rPr>
          <t xml:space="preserve">
</t>
        </r>
      </text>
    </comment>
    <comment ref="B18" authorId="0">
      <text>
        <r>
          <rPr>
            <b/>
            <sz val="9"/>
            <rFont val="宋体"/>
            <charset val="134"/>
          </rPr>
          <t xml:space="preserve">19.17
</t>
        </r>
        <r>
          <rPr>
            <sz val="9"/>
            <rFont val="宋体"/>
            <charset val="134"/>
          </rPr>
          <t xml:space="preserve">
</t>
        </r>
      </text>
    </comment>
    <comment ref="W29" authorId="0">
      <text>
        <r>
          <rPr>
            <b/>
            <sz val="9"/>
            <rFont val="宋体"/>
            <charset val="134"/>
          </rPr>
          <t xml:space="preserve">奖金2194+15000全部；4-6月发完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<sst xmlns="http://schemas.openxmlformats.org/spreadsheetml/2006/main" count="92" uniqueCount="48">
  <si>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</si>
  <si>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</si>
  <si>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</si>
  <si>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</si>
  <si>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</si>
  <si>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</si>
  <si>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</si>
  <si>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</si>
  <si>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</si>
  <si>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</si>
  <si>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</si>
  <si>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</si>
  <si>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市场销售</t>
  </si>
  <si>
    <t>姓名</t>
  </si>
  <si>
    <t>月工资</t>
  </si>
  <si>
    <t>职位工资</t>
  </si>
  <si>
    <t>津贴</t>
  </si>
  <si>
    <t>五险一金</t>
  </si>
  <si>
    <t>个人部分</t>
  </si>
  <si>
    <t>工资</t>
  </si>
  <si>
    <t>差旅</t>
  </si>
  <si>
    <t>业务招待</t>
  </si>
  <si>
    <t>奖金</t>
  </si>
  <si>
    <t>卞少为</t>
  </si>
  <si>
    <t>/</t>
  </si>
  <si>
    <t xml:space="preserve">MKT </t>
  </si>
  <si>
    <t>沈铭骋</t>
  </si>
  <si>
    <t>王嘉裕</t>
  </si>
  <si>
    <t>高一凡</t>
  </si>
  <si>
    <t>王慧</t>
  </si>
  <si>
    <t>梁旭阳</t>
  </si>
  <si>
    <t>白文雪</t>
  </si>
  <si>
    <t>R&amp;D</t>
  </si>
  <si>
    <t>于肖肖</t>
  </si>
  <si>
    <t>胡婷</t>
  </si>
  <si>
    <t>罗海霞</t>
  </si>
  <si>
    <t>魏菲</t>
  </si>
  <si>
    <t>赵婉玉</t>
  </si>
  <si>
    <t>慕佳俊</t>
  </si>
  <si>
    <t>郝志杰</t>
  </si>
  <si>
    <t>刘科利</t>
  </si>
  <si>
    <t>李彩霞</t>
  </si>
  <si>
    <t>张蕾</t>
  </si>
  <si>
    <t>郭建飞</t>
  </si>
  <si>
    <t>黄铮</t>
  </si>
  <si>
    <t>李菁</t>
  </si>
  <si>
    <t>黄梓茜</t>
  </si>
  <si>
    <t>李文婷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</si>
</sst>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0.00_);[Red]\(0.00\)"/>
    <numFmt numFmtId="179" formatCode="0.0_);[Red]\(0.0\)"/>
  </numFmts>
  <fonts count="30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b/>
      <sz val="10"/>
      <color theme="1"/>
      <name val="等线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8" fontId="1" fillId="0" borderId="1" xfId="0" applyNumberFormat="1" applyFont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176" fontId="1" fillId="5" borderId="2" xfId="0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9" fontId="1" fillId="0" borderId="1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8" fontId="1" fillId="5" borderId="1" xfId="49" applyNumberFormat="1" applyFont="1" applyFill="1" applyBorder="1" applyAlignment="1">
      <alignment horizontal="left" vertical="center"/>
    </xf>
    <xf numFmtId="178" fontId="1" fillId="2" borderId="1" xfId="49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78" fontId="1" fillId="5" borderId="2" xfId="49" applyNumberFormat="1" applyFont="1" applyFill="1" applyBorder="1" applyAlignment="1">
      <alignment horizontal="left" vertical="center"/>
    </xf>
    <xf numFmtId="176" fontId="6" fillId="0" borderId="2" xfId="0" applyNumberFormat="1" applyFont="1" applyBorder="1" applyAlignment="1">
      <alignment horizontal="left"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7" fillId="2" borderId="1" xfId="0" applyNumberFormat="1" applyFont="1" applyFill="1" applyBorder="1">
      <alignment vertical="center"/>
    </xf>
    <xf numFmtId="176" fontId="0" fillId="2" borderId="1" xfId="0" applyNumberForma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1"/>
  <sheetViews>
    <sheetView tabSelected="1" workbookViewId="0">
      <pane xSplit="7" ySplit="1" topLeftCell="H8" activePane="bottomRight" state="frozen"/>
      <selection/>
      <selection pane="topRight"/>
      <selection pane="bottomLeft"/>
      <selection pane="bottomRight" activeCell="K19" sqref="K19"/>
    </sheetView>
  </sheetViews>
  <sheetFormatPr defaultColWidth="9" defaultRowHeight="14"/>
  <cols>
    <col min="2" max="2" width="13.4545454545455" customWidth="1"/>
    <col min="3" max="7" width="9" customWidth="1"/>
    <col min="8" max="11" width="9" style="4" customWidth="1"/>
    <col min="12" max="12" width="9" style="5" customWidth="1"/>
    <col min="13" max="15" width="9" style="4" customWidth="1"/>
    <col min="16" max="16" width="9" style="6" customWidth="1"/>
    <col min="17" max="25" width="9" style="4" customWidth="1"/>
    <col min="26" max="27" width="9" style="4"/>
    <col min="28" max="28" width="9.36363636363636" style="4" customWidth="1"/>
    <col min="29" max="35" width="9" style="4"/>
    <col min="36" max="54" width="9" style="5"/>
    <col min="55" max="55" width="9" style="4"/>
  </cols>
  <sheetData>
    <row r="1" ht="22.5" customHeight="1" spans="1:55">
      <c r="H1" s="7" t="s">
        <v>0</v>
      </c>
      <c r="I1" s="7"/>
      <c r="J1" s="7"/>
      <c r="K1" s="7"/>
      <c r="L1" s="8" t="s">
        <v>1</v>
      </c>
      <c r="M1" s="9"/>
      <c r="N1" s="9"/>
      <c r="O1" s="10"/>
      <c r="P1" s="7" t="s">
        <v>2</v>
      </c>
      <c r="Q1" s="7"/>
      <c r="R1" s="7"/>
      <c r="S1" s="7"/>
      <c r="T1" s="7" t="s">
        <v>3</v>
      </c>
      <c r="U1" s="7"/>
      <c r="V1" s="7"/>
      <c r="W1" s="7"/>
      <c r="X1" s="7" t="s">
        <v>4</v>
      </c>
      <c r="Y1" s="7"/>
      <c r="Z1" s="7"/>
      <c r="AA1" s="7"/>
      <c r="AB1" s="7" t="s">
        <v>5</v>
      </c>
      <c r="AC1" s="7"/>
      <c r="AD1" s="7"/>
      <c r="AE1" s="7"/>
      <c r="AF1" s="7" t="s">
        <v>6</v>
      </c>
      <c r="AG1" s="7"/>
      <c r="AH1" s="7"/>
      <c r="AI1" s="7"/>
      <c r="AJ1" s="7" t="s">
        <v>7</v>
      </c>
      <c r="AK1" s="7"/>
      <c r="AL1" s="7"/>
      <c r="AM1" s="7"/>
      <c r="AN1" s="7" t="s">
        <v>8</v>
      </c>
      <c r="AO1" s="7"/>
      <c r="AP1" s="7"/>
      <c r="AQ1" s="7"/>
      <c r="AR1" s="7" t="s">
        <v>9</v>
      </c>
      <c r="AS1" s="7"/>
      <c r="AT1" s="7"/>
      <c r="AU1" s="7"/>
      <c r="AV1" s="7" t="s">
        <v>10</v>
      </c>
      <c r="AW1" s="7"/>
      <c r="AX1" s="7"/>
      <c r="AY1" s="7"/>
      <c r="AZ1" s="7" t="s">
        <v>11</v>
      </c>
      <c r="BA1" s="7"/>
      <c r="BB1" s="7"/>
      <c r="BC1" s="7"/>
    </row>
    <row r="2" s="1" customFormat="1" ht="16.5" customHeight="1" spans="1:55">
      <c r="A2" s="11" t="s">
        <v>12</v>
      </c>
      <c r="B2" s="12" t="s">
        <v>13</v>
      </c>
      <c r="C2" s="13" t="s">
        <v>14</v>
      </c>
      <c r="D2" s="13" t="s">
        <v>15</v>
      </c>
      <c r="E2" s="14" t="s">
        <v>16</v>
      </c>
      <c r="F2" s="15" t="s">
        <v>17</v>
      </c>
      <c r="G2" s="16" t="s">
        <v>18</v>
      </c>
      <c r="H2" s="13" t="s">
        <v>19</v>
      </c>
      <c r="I2" s="13" t="s">
        <v>20</v>
      </c>
      <c r="J2" s="13" t="s">
        <v>21</v>
      </c>
      <c r="K2" s="13" t="s">
        <v>22</v>
      </c>
      <c r="L2" s="13" t="s">
        <v>19</v>
      </c>
      <c r="M2" s="13" t="s">
        <v>20</v>
      </c>
      <c r="N2" s="13" t="s">
        <v>21</v>
      </c>
      <c r="O2" s="13" t="s">
        <v>22</v>
      </c>
      <c r="P2" s="15" t="s">
        <v>19</v>
      </c>
      <c r="Q2" s="13" t="s">
        <v>20</v>
      </c>
      <c r="R2" s="13" t="s">
        <v>21</v>
      </c>
      <c r="S2" s="13" t="s">
        <v>22</v>
      </c>
      <c r="T2" s="15" t="s">
        <v>19</v>
      </c>
      <c r="U2" s="13" t="s">
        <v>20</v>
      </c>
      <c r="V2" s="13" t="s">
        <v>21</v>
      </c>
      <c r="W2" s="13" t="s">
        <v>22</v>
      </c>
      <c r="X2" s="15" t="s">
        <v>19</v>
      </c>
      <c r="Y2" s="13" t="s">
        <v>20</v>
      </c>
      <c r="Z2" s="13" t="s">
        <v>21</v>
      </c>
      <c r="AA2" s="13" t="s">
        <v>22</v>
      </c>
      <c r="AB2" s="15" t="s">
        <v>19</v>
      </c>
      <c r="AC2" s="13" t="s">
        <v>20</v>
      </c>
      <c r="AD2" s="13" t="s">
        <v>21</v>
      </c>
      <c r="AE2" s="13" t="s">
        <v>22</v>
      </c>
      <c r="AF2" s="15" t="s">
        <v>19</v>
      </c>
      <c r="AG2" s="13" t="s">
        <v>20</v>
      </c>
      <c r="AH2" s="13" t="s">
        <v>21</v>
      </c>
      <c r="AI2" s="13" t="s">
        <v>22</v>
      </c>
      <c r="AJ2" s="15" t="s">
        <v>19</v>
      </c>
      <c r="AK2" s="13" t="s">
        <v>20</v>
      </c>
      <c r="AL2" s="13" t="s">
        <v>21</v>
      </c>
      <c r="AM2" s="13" t="s">
        <v>22</v>
      </c>
      <c r="AN2" s="15" t="s">
        <v>19</v>
      </c>
      <c r="AO2" s="13" t="s">
        <v>20</v>
      </c>
      <c r="AP2" s="13" t="s">
        <v>21</v>
      </c>
      <c r="AQ2" s="13" t="s">
        <v>22</v>
      </c>
      <c r="AR2" s="15" t="s">
        <v>19</v>
      </c>
      <c r="AS2" s="13" t="s">
        <v>20</v>
      </c>
      <c r="AT2" s="13" t="s">
        <v>21</v>
      </c>
      <c r="AU2" s="13" t="s">
        <v>22</v>
      </c>
      <c r="AV2" s="15" t="s">
        <v>19</v>
      </c>
      <c r="AW2" s="13" t="s">
        <v>20</v>
      </c>
      <c r="AX2" s="13" t="s">
        <v>21</v>
      </c>
      <c r="AY2" s="13" t="s">
        <v>22</v>
      </c>
      <c r="AZ2" s="15" t="s">
        <v>19</v>
      </c>
      <c r="BA2" s="13" t="s">
        <v>20</v>
      </c>
      <c r="BB2" s="13" t="s">
        <v>21</v>
      </c>
      <c r="BC2" s="13" t="s">
        <v>22</v>
      </c>
    </row>
    <row r="3" s="1" customFormat="1" ht="19" customHeight="1" spans="1:55">
      <c r="A3" s="11"/>
      <c r="B3" s="17" t="s">
        <v>23</v>
      </c>
      <c r="C3" s="18">
        <v>27500</v>
      </c>
      <c r="D3" s="18">
        <v>9000</v>
      </c>
      <c r="E3" s="19">
        <v>10000</v>
      </c>
      <c r="F3" s="15">
        <v>8320</v>
      </c>
      <c r="G3" s="16"/>
      <c r="H3" s="15">
        <f>36600+30000+F3</f>
        <v>74920</v>
      </c>
      <c r="I3" s="13"/>
      <c r="J3" s="13">
        <v>1529</v>
      </c>
      <c r="K3" s="13" t="s">
        <v>24</v>
      </c>
      <c r="L3" s="15">
        <f>36600+F3</f>
        <v>44920</v>
      </c>
      <c r="M3" s="13"/>
      <c r="N3" s="13"/>
      <c r="O3" s="13"/>
      <c r="P3" s="20">
        <f>36600+F3</f>
        <v>44920</v>
      </c>
      <c r="Q3" s="13"/>
      <c r="R3" s="13">
        <v>2420</v>
      </c>
      <c r="S3" s="13"/>
      <c r="T3" s="13"/>
      <c r="U3" s="13"/>
      <c r="V3" s="13"/>
      <c r="W3" s="13"/>
      <c r="X3" s="15"/>
      <c r="Y3" s="13"/>
      <c r="Z3" s="13"/>
      <c r="AA3" s="13"/>
      <c r="AB3" s="15"/>
      <c r="AC3" s="13"/>
      <c r="AD3" s="13"/>
      <c r="AE3" s="13"/>
      <c r="AF3" s="15"/>
      <c r="AG3" s="13"/>
      <c r="AH3" s="13"/>
      <c r="AI3" s="13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3"/>
    </row>
    <row r="4" s="1" customFormat="1" ht="19" customHeight="1" spans="1:55">
      <c r="A4" s="11"/>
      <c r="B4" s="17" t="s">
        <v>25</v>
      </c>
      <c r="C4" s="18">
        <v>12000</v>
      </c>
      <c r="D4" s="18">
        <v>4000</v>
      </c>
      <c r="E4" s="19"/>
      <c r="F4" s="15"/>
      <c r="G4" s="16"/>
      <c r="H4" s="15"/>
      <c r="I4" s="13"/>
      <c r="J4" s="13"/>
      <c r="K4" s="13"/>
      <c r="L4" s="15"/>
      <c r="M4" s="13"/>
      <c r="N4" s="13"/>
      <c r="O4" s="13"/>
      <c r="P4" s="20"/>
      <c r="Q4" s="13"/>
      <c r="R4" s="13"/>
      <c r="S4" s="13"/>
      <c r="T4" s="13"/>
      <c r="U4" s="13"/>
      <c r="V4" s="13"/>
      <c r="W4" s="13"/>
      <c r="X4" s="15"/>
      <c r="Y4" s="13"/>
      <c r="Z4" s="13"/>
      <c r="AA4" s="13"/>
      <c r="AB4" s="15"/>
      <c r="AC4" s="13"/>
      <c r="AD4" s="13"/>
      <c r="AE4" s="13"/>
      <c r="AF4" s="15"/>
      <c r="AG4" s="13"/>
      <c r="AH4" s="13"/>
      <c r="AI4" s="13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3"/>
    </row>
    <row r="5" s="1" customFormat="1" ht="19" customHeight="1" spans="1:55">
      <c r="A5" s="11"/>
      <c r="B5" s="21" t="s">
        <v>26</v>
      </c>
      <c r="C5" s="18"/>
      <c r="D5" s="18"/>
      <c r="E5" s="19"/>
      <c r="F5" s="15">
        <v>4381.6</v>
      </c>
      <c r="G5" s="16"/>
      <c r="H5" s="15">
        <f>26606.32+F5</f>
        <v>30987.92</v>
      </c>
      <c r="I5" s="13"/>
      <c r="J5" s="13"/>
      <c r="K5" s="13">
        <v>315274</v>
      </c>
      <c r="L5" s="15"/>
      <c r="M5" s="13"/>
      <c r="N5" s="13"/>
      <c r="O5" s="13"/>
      <c r="P5" s="20"/>
      <c r="Q5" s="13"/>
      <c r="R5" s="13"/>
      <c r="S5" s="13">
        <v>103625</v>
      </c>
      <c r="T5" s="13"/>
      <c r="U5" s="13"/>
      <c r="V5" s="13"/>
      <c r="W5" s="13"/>
      <c r="X5" s="15"/>
      <c r="Y5" s="13"/>
      <c r="Z5" s="13"/>
      <c r="AA5" s="13"/>
      <c r="AB5" s="15"/>
      <c r="AC5" s="13"/>
      <c r="AD5" s="13"/>
      <c r="AE5" s="13"/>
      <c r="AF5" s="15"/>
      <c r="AG5" s="13"/>
      <c r="AH5" s="13"/>
      <c r="AI5" s="13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3"/>
    </row>
    <row r="6" s="1" customFormat="1" ht="16.5" customHeight="1" spans="1:55">
      <c r="A6" s="11"/>
      <c r="B6" s="22" t="s">
        <v>27</v>
      </c>
      <c r="C6" s="22">
        <v>11100</v>
      </c>
      <c r="D6" s="22">
        <v>4000</v>
      </c>
      <c r="E6" s="23"/>
      <c r="F6" s="15">
        <v>3397</v>
      </c>
      <c r="G6" s="16"/>
      <c r="H6" s="15">
        <f>15475+F6</f>
        <v>18872</v>
      </c>
      <c r="I6" s="13"/>
      <c r="J6" s="13">
        <v>970.8</v>
      </c>
      <c r="K6" s="13"/>
      <c r="L6" s="15">
        <f>F6+15975</f>
        <v>19372</v>
      </c>
      <c r="M6" s="13"/>
      <c r="N6" s="13"/>
      <c r="O6" s="13"/>
      <c r="P6" s="20">
        <f>F6+15225</f>
        <v>18622</v>
      </c>
      <c r="Q6" s="13"/>
      <c r="R6" s="13">
        <v>358</v>
      </c>
      <c r="S6" s="13"/>
      <c r="T6" s="15"/>
      <c r="U6" s="13"/>
      <c r="V6" s="13"/>
      <c r="W6" s="13"/>
      <c r="X6" s="15"/>
      <c r="Y6" s="13"/>
      <c r="Z6" s="13"/>
      <c r="AA6" s="13"/>
      <c r="AB6" s="15"/>
      <c r="AC6" s="13"/>
      <c r="AD6" s="13"/>
      <c r="AE6" s="13"/>
      <c r="AF6" s="15"/>
      <c r="AG6" s="13"/>
      <c r="AH6" s="13"/>
      <c r="AI6" s="13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3"/>
    </row>
    <row r="7" s="1" customFormat="1" ht="16.5" customHeight="1" spans="1:55">
      <c r="A7" s="11"/>
      <c r="B7" s="17" t="s">
        <v>28</v>
      </c>
      <c r="C7" s="22">
        <v>15100</v>
      </c>
      <c r="D7" s="22">
        <v>5000</v>
      </c>
      <c r="E7" s="23">
        <v>5000</v>
      </c>
      <c r="F7" s="15">
        <v>5970</v>
      </c>
      <c r="G7" s="16"/>
      <c r="H7" s="15">
        <f>21100+F7</f>
        <v>27070</v>
      </c>
      <c r="I7" s="13"/>
      <c r="J7" s="13"/>
      <c r="K7" s="13"/>
      <c r="L7" s="15">
        <f>F7+20600</f>
        <v>26570</v>
      </c>
      <c r="M7" s="13">
        <v>4367</v>
      </c>
      <c r="N7" s="13"/>
      <c r="O7" s="13"/>
      <c r="P7" s="20">
        <f>21100+F7</f>
        <v>27070</v>
      </c>
      <c r="Q7" s="13"/>
      <c r="R7" s="13"/>
      <c r="S7" s="13"/>
      <c r="T7" s="15"/>
      <c r="U7" s="13"/>
      <c r="V7" s="13"/>
      <c r="W7" s="13"/>
      <c r="X7" s="15"/>
      <c r="Y7" s="13"/>
      <c r="Z7" s="13"/>
      <c r="AA7" s="13"/>
      <c r="AB7" s="15"/>
      <c r="AC7" s="13"/>
      <c r="AD7" s="13"/>
      <c r="AE7" s="13"/>
      <c r="AF7" s="15"/>
      <c r="AG7" s="13"/>
      <c r="AH7" s="13"/>
      <c r="AI7" s="13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3"/>
    </row>
    <row r="8" s="1" customFormat="1" ht="16.5" customHeight="1" spans="1:55">
      <c r="A8" s="11"/>
      <c r="B8" s="22" t="s">
        <v>29</v>
      </c>
      <c r="C8" s="22">
        <v>9100</v>
      </c>
      <c r="D8" s="22">
        <v>2000</v>
      </c>
      <c r="E8" s="23"/>
      <c r="F8" s="15">
        <v>2917.26</v>
      </c>
      <c r="G8" s="16"/>
      <c r="H8" s="15">
        <f>11725+F8</f>
        <v>14642.26</v>
      </c>
      <c r="I8" s="13"/>
      <c r="J8" s="13"/>
      <c r="K8" s="13">
        <v>41334</v>
      </c>
      <c r="L8" s="15">
        <f>F8+11725</f>
        <v>14642.26</v>
      </c>
      <c r="M8" s="13"/>
      <c r="N8" s="13"/>
      <c r="O8" s="13"/>
      <c r="P8" s="20">
        <f>11600+F8</f>
        <v>14517.26</v>
      </c>
      <c r="Q8" s="13"/>
      <c r="R8" s="13"/>
      <c r="S8" s="13"/>
      <c r="T8" s="15"/>
      <c r="U8" s="13"/>
      <c r="V8" s="13"/>
      <c r="W8" s="13"/>
      <c r="X8" s="15"/>
      <c r="Y8" s="13"/>
      <c r="Z8" s="13"/>
      <c r="AA8" s="13"/>
      <c r="AB8" s="15"/>
      <c r="AC8" s="13"/>
      <c r="AD8" s="13"/>
      <c r="AE8" s="13"/>
      <c r="AF8" s="13"/>
      <c r="AG8" s="13"/>
      <c r="AH8" s="13"/>
      <c r="AI8" s="13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3"/>
    </row>
    <row r="9" s="1" customFormat="1" ht="16.5" customHeight="1" spans="1:55">
      <c r="A9" s="11"/>
      <c r="B9" s="24" t="s">
        <v>30</v>
      </c>
      <c r="C9" s="25">
        <v>6100</v>
      </c>
      <c r="D9" s="25">
        <v>1000</v>
      </c>
      <c r="E9" s="26"/>
      <c r="F9" s="15">
        <v>2850</v>
      </c>
      <c r="G9" s="16"/>
      <c r="H9" s="15">
        <f>11350+F9</f>
        <v>14200</v>
      </c>
      <c r="I9" s="13"/>
      <c r="J9" s="13"/>
      <c r="K9" s="13"/>
      <c r="L9" s="15">
        <f>F9+11350</f>
        <v>14200</v>
      </c>
      <c r="M9" s="13"/>
      <c r="N9" s="13"/>
      <c r="O9" s="13"/>
      <c r="P9" s="20">
        <f>11225+F9</f>
        <v>14075</v>
      </c>
      <c r="Q9" s="13"/>
      <c r="R9" s="13"/>
      <c r="S9" s="13"/>
      <c r="T9" s="27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3"/>
    </row>
    <row r="10" s="1" customFormat="1" ht="16.5" customHeight="1" spans="1:55">
      <c r="A10" s="11"/>
      <c r="B10" s="24" t="s">
        <v>31</v>
      </c>
      <c r="C10" s="28">
        <v>10100</v>
      </c>
      <c r="D10" s="28"/>
      <c r="E10" s="29"/>
      <c r="F10" s="30">
        <v>2917.26</v>
      </c>
      <c r="G10" s="31"/>
      <c r="H10" s="15">
        <f>11100+F10</f>
        <v>14017.26</v>
      </c>
      <c r="I10" s="13"/>
      <c r="J10" s="13"/>
      <c r="K10" s="13"/>
      <c r="L10" s="15">
        <f>F10+11100</f>
        <v>14017.26</v>
      </c>
      <c r="M10" s="13"/>
      <c r="N10" s="13"/>
      <c r="O10" s="13"/>
      <c r="P10" s="20">
        <f>10850+F10</f>
        <v>13767.26</v>
      </c>
      <c r="Q10" s="13"/>
      <c r="R10" s="13"/>
      <c r="S10" s="13"/>
      <c r="T10" s="15"/>
      <c r="U10" s="13"/>
      <c r="V10" s="13"/>
      <c r="W10" s="13"/>
      <c r="X10" s="15"/>
      <c r="Y10" s="13"/>
      <c r="Z10" s="13"/>
      <c r="AA10" s="13"/>
      <c r="AB10" s="15"/>
      <c r="AC10" s="13"/>
      <c r="AD10" s="13"/>
      <c r="AE10" s="13"/>
      <c r="AF10" s="13"/>
      <c r="AG10" s="13"/>
      <c r="AH10" s="13"/>
      <c r="AI10" s="13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3"/>
    </row>
    <row r="11" s="2" customFormat="1" ht="16.5" customHeight="1" spans="1:55">
      <c r="A11" s="32"/>
      <c r="B11" s="33"/>
      <c r="C11" s="34"/>
      <c r="D11" s="34"/>
      <c r="E11" s="35"/>
      <c r="F11" s="36"/>
      <c r="G11" s="37"/>
      <c r="H11" s="36">
        <f t="shared" ref="H11:AG11" si="0">SUM(H3:H10)</f>
        <v>194709.44</v>
      </c>
      <c r="I11" s="36">
        <f t="shared" si="0"/>
        <v>0</v>
      </c>
      <c r="J11" s="36">
        <f t="shared" si="0"/>
        <v>2499.8</v>
      </c>
      <c r="K11" s="36">
        <f t="shared" si="0"/>
        <v>356608</v>
      </c>
      <c r="L11" s="36">
        <f t="shared" si="0"/>
        <v>133721.52</v>
      </c>
      <c r="M11" s="36">
        <f t="shared" si="0"/>
        <v>4367</v>
      </c>
      <c r="N11" s="36">
        <f t="shared" si="0"/>
        <v>0</v>
      </c>
      <c r="O11" s="36">
        <f t="shared" si="0"/>
        <v>0</v>
      </c>
      <c r="P11" s="36">
        <f t="shared" si="0"/>
        <v>132971.52</v>
      </c>
      <c r="Q11" s="36">
        <f t="shared" si="0"/>
        <v>0</v>
      </c>
      <c r="R11" s="36">
        <f t="shared" si="0"/>
        <v>2778</v>
      </c>
      <c r="S11" s="36">
        <f t="shared" si="0"/>
        <v>103625</v>
      </c>
      <c r="T11" s="36">
        <f t="shared" si="0"/>
        <v>0</v>
      </c>
      <c r="U11" s="36">
        <f t="shared" si="0"/>
        <v>0</v>
      </c>
      <c r="V11" s="36">
        <f t="shared" si="0"/>
        <v>0</v>
      </c>
      <c r="W11" s="36">
        <f t="shared" si="0"/>
        <v>0</v>
      </c>
      <c r="X11" s="36">
        <f t="shared" si="0"/>
        <v>0</v>
      </c>
      <c r="Y11" s="36">
        <f t="shared" si="0"/>
        <v>0</v>
      </c>
      <c r="Z11" s="36">
        <f t="shared" si="0"/>
        <v>0</v>
      </c>
      <c r="AA11" s="36">
        <f t="shared" si="0"/>
        <v>0</v>
      </c>
      <c r="AB11" s="36">
        <f t="shared" si="0"/>
        <v>0</v>
      </c>
      <c r="AC11" s="36">
        <f t="shared" si="0"/>
        <v>0</v>
      </c>
      <c r="AD11" s="36">
        <f t="shared" si="0"/>
        <v>0</v>
      </c>
      <c r="AE11" s="36">
        <f t="shared" si="0"/>
        <v>0</v>
      </c>
      <c r="AF11" s="36">
        <f t="shared" si="0"/>
        <v>0</v>
      </c>
      <c r="AG11" s="36">
        <f t="shared" si="0"/>
        <v>0</v>
      </c>
      <c r="AH11" s="38"/>
      <c r="AI11" s="38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8"/>
    </row>
    <row r="12" s="1" customFormat="1" ht="16.5" customHeight="1" spans="1:55">
      <c r="A12" s="39" t="s">
        <v>32</v>
      </c>
      <c r="B12" s="13" t="s">
        <v>33</v>
      </c>
      <c r="C12" s="40">
        <v>6100</v>
      </c>
      <c r="D12" s="40">
        <v>1000</v>
      </c>
      <c r="E12" s="23"/>
      <c r="F12" s="15">
        <v>4709.8</v>
      </c>
      <c r="G12" s="16"/>
      <c r="H12" s="15">
        <f>7275+F12</f>
        <v>11984.8</v>
      </c>
      <c r="I12" s="13"/>
      <c r="J12" s="13"/>
      <c r="K12" s="13"/>
      <c r="L12" s="15">
        <f>F12+7250</f>
        <v>11959.8</v>
      </c>
      <c r="M12" s="13"/>
      <c r="N12" s="13"/>
      <c r="O12" s="13"/>
      <c r="P12" s="20">
        <f>7400+F12</f>
        <v>12109.8</v>
      </c>
      <c r="Q12" s="13"/>
      <c r="R12" s="13"/>
      <c r="S12" s="13"/>
      <c r="T12" s="15"/>
      <c r="U12" s="13"/>
      <c r="V12" s="13"/>
      <c r="W12" s="13"/>
      <c r="X12" s="15"/>
      <c r="Y12" s="13"/>
      <c r="Z12" s="13"/>
      <c r="AA12" s="13"/>
      <c r="AB12" s="15"/>
      <c r="AC12" s="13"/>
      <c r="AD12" s="13"/>
      <c r="AE12" s="13"/>
      <c r="AF12" s="15"/>
      <c r="AG12" s="13"/>
      <c r="AH12" s="13"/>
      <c r="AI12" s="13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3"/>
    </row>
    <row r="13" s="1" customFormat="1" ht="16.5" customHeight="1" spans="1:55">
      <c r="A13" s="41"/>
      <c r="B13" s="17" t="s">
        <v>34</v>
      </c>
      <c r="C13" s="22">
        <v>15100</v>
      </c>
      <c r="D13" s="22">
        <v>5000</v>
      </c>
      <c r="E13" s="23">
        <v>5000</v>
      </c>
      <c r="F13" s="15">
        <v>6112.86</v>
      </c>
      <c r="G13" s="16"/>
      <c r="H13" s="15">
        <f>21100+5000+F13</f>
        <v>32212.86</v>
      </c>
      <c r="I13" s="13"/>
      <c r="J13" s="13"/>
      <c r="K13" s="13"/>
      <c r="L13" s="15">
        <f>F13+21100+5000</f>
        <v>32212.86</v>
      </c>
      <c r="M13" s="13"/>
      <c r="N13" s="13"/>
      <c r="O13" s="13"/>
      <c r="P13" s="20">
        <f>21100+5000+F13</f>
        <v>32212.86</v>
      </c>
      <c r="Q13" s="13"/>
      <c r="R13" s="13"/>
      <c r="S13" s="13"/>
      <c r="T13" s="15"/>
      <c r="U13" s="13"/>
      <c r="V13" s="13"/>
      <c r="W13" s="13"/>
      <c r="X13" s="15"/>
      <c r="Y13" s="13"/>
      <c r="Z13" s="13"/>
      <c r="AA13" s="13"/>
      <c r="AB13" s="15"/>
      <c r="AC13" s="13"/>
      <c r="AD13" s="13"/>
      <c r="AE13" s="13"/>
      <c r="AF13" s="15"/>
      <c r="AG13" s="13"/>
      <c r="AH13" s="13"/>
      <c r="AI13" s="13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3"/>
    </row>
    <row r="14" s="1" customFormat="1" ht="16.5" customHeight="1" spans="1:55">
      <c r="A14" s="41"/>
      <c r="B14" s="42" t="s">
        <v>35</v>
      </c>
      <c r="C14" s="22">
        <v>11100</v>
      </c>
      <c r="D14" s="22">
        <v>3000</v>
      </c>
      <c r="E14" s="23"/>
      <c r="F14" s="15">
        <v>3746</v>
      </c>
      <c r="G14" s="16"/>
      <c r="H14" s="15">
        <f>14800+F14</f>
        <v>18546</v>
      </c>
      <c r="I14" s="13"/>
      <c r="J14" s="13"/>
      <c r="K14" s="13"/>
      <c r="L14" s="15">
        <f>F14+15000</f>
        <v>18746</v>
      </c>
      <c r="M14" s="13"/>
      <c r="N14" s="13"/>
      <c r="O14" s="13"/>
      <c r="P14" s="20">
        <f>15000+F14</f>
        <v>18746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3"/>
    </row>
    <row r="15" s="1" customFormat="1" ht="16.5" customHeight="1" spans="1:55">
      <c r="A15" s="41"/>
      <c r="B15" s="13" t="s">
        <v>36</v>
      </c>
      <c r="C15" s="22">
        <v>9100</v>
      </c>
      <c r="D15" s="43">
        <v>2000</v>
      </c>
      <c r="E15" s="23"/>
      <c r="F15" s="15">
        <v>3068.8</v>
      </c>
      <c r="G15" s="16"/>
      <c r="H15" s="15">
        <f>F15+11250</f>
        <v>14318.8</v>
      </c>
      <c r="I15" s="13"/>
      <c r="J15" s="13"/>
      <c r="K15" s="13"/>
      <c r="L15" s="15">
        <f>F15+11600</f>
        <v>14668.8</v>
      </c>
      <c r="M15" s="13"/>
      <c r="N15" s="13"/>
      <c r="O15" s="13"/>
      <c r="P15" s="20">
        <f>11250+F15</f>
        <v>14318.8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3"/>
    </row>
    <row r="16" s="1" customFormat="1" ht="16.5" customHeight="1" spans="1:55">
      <c r="A16" s="41"/>
      <c r="B16" s="17" t="s">
        <v>37</v>
      </c>
      <c r="C16" s="22">
        <v>14100</v>
      </c>
      <c r="D16" s="22">
        <v>5000</v>
      </c>
      <c r="E16" s="23">
        <v>5000</v>
      </c>
      <c r="F16" s="15">
        <v>4709.8</v>
      </c>
      <c r="G16" s="16"/>
      <c r="H16" s="15">
        <f>15000+21685+F16</f>
        <v>41394.8</v>
      </c>
      <c r="I16" s="13"/>
      <c r="J16" s="13"/>
      <c r="K16" s="13">
        <v>223766</v>
      </c>
      <c r="L16" s="15">
        <f>F16+19275</f>
        <v>23984.8</v>
      </c>
      <c r="M16" s="13"/>
      <c r="N16" s="13"/>
      <c r="O16" s="13"/>
      <c r="P16" s="20">
        <f>19100+F16</f>
        <v>23809.8</v>
      </c>
      <c r="Q16" s="13">
        <v>4638</v>
      </c>
      <c r="R16" s="13"/>
      <c r="S16" s="13"/>
      <c r="T16" s="15"/>
      <c r="U16" s="13"/>
      <c r="V16" s="13"/>
      <c r="W16" s="13"/>
      <c r="X16" s="15"/>
      <c r="Y16" s="13"/>
      <c r="Z16" s="13"/>
      <c r="AA16" s="13"/>
      <c r="AB16" s="15"/>
      <c r="AC16" s="13"/>
      <c r="AD16" s="13"/>
      <c r="AE16" s="13"/>
      <c r="AF16" s="15"/>
      <c r="AG16" s="13"/>
      <c r="AH16" s="13"/>
      <c r="AI16" s="13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3"/>
    </row>
    <row r="17" s="1" customFormat="1" ht="16.5" customHeight="1" spans="1:55">
      <c r="A17" s="41"/>
      <c r="B17" s="22" t="s">
        <v>38</v>
      </c>
      <c r="C17" s="22">
        <v>8000</v>
      </c>
      <c r="D17" s="43"/>
      <c r="E17" s="23"/>
      <c r="F17" s="15">
        <v>3103.4</v>
      </c>
      <c r="G17" s="16"/>
      <c r="H17" s="44">
        <f>8900+F17</f>
        <v>12003.4</v>
      </c>
      <c r="I17" s="13"/>
      <c r="J17" s="13"/>
      <c r="K17" s="13"/>
      <c r="L17" s="15">
        <f>F17+8675</f>
        <v>11778.4</v>
      </c>
      <c r="M17" s="13"/>
      <c r="N17" s="13"/>
      <c r="O17" s="13"/>
      <c r="P17" s="20">
        <f>2154+F17</f>
        <v>5257.4</v>
      </c>
      <c r="Q17" s="13"/>
      <c r="R17" s="13"/>
      <c r="S17" s="13"/>
      <c r="T17" s="15"/>
      <c r="U17" s="13"/>
      <c r="V17" s="13"/>
      <c r="W17" s="13"/>
      <c r="X17" s="15"/>
      <c r="Y17" s="13"/>
      <c r="Z17" s="13"/>
      <c r="AA17" s="13"/>
      <c r="AB17" s="15"/>
      <c r="AC17" s="13"/>
      <c r="AD17" s="13"/>
      <c r="AE17" s="13"/>
      <c r="AF17" s="15"/>
      <c r="AG17" s="13"/>
      <c r="AH17" s="13"/>
      <c r="AI17" s="13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3"/>
    </row>
    <row r="18" s="1" customFormat="1" ht="16.5" customHeight="1" spans="1:55">
      <c r="A18" s="45"/>
      <c r="B18" s="46" t="s">
        <v>39</v>
      </c>
      <c r="C18" s="47">
        <v>6100</v>
      </c>
      <c r="D18" s="47">
        <v>1000</v>
      </c>
      <c r="E18" s="14"/>
      <c r="F18" s="15">
        <v>2461.17</v>
      </c>
      <c r="G18" s="16"/>
      <c r="H18" s="15">
        <f>7150+F18</f>
        <v>9611.17</v>
      </c>
      <c r="I18" s="13"/>
      <c r="J18" s="13"/>
      <c r="K18" s="13"/>
      <c r="L18" s="15">
        <f>F18+7300</f>
        <v>9761.17</v>
      </c>
      <c r="M18" s="13"/>
      <c r="N18" s="13"/>
      <c r="O18" s="13"/>
      <c r="P18" s="20">
        <f>7200+F18</f>
        <v>9661.17</v>
      </c>
      <c r="Q18" s="13"/>
      <c r="R18" s="13"/>
      <c r="S18" s="13"/>
      <c r="T18" s="15"/>
      <c r="U18" s="13"/>
      <c r="V18" s="13"/>
      <c r="W18" s="13"/>
      <c r="X18" s="15"/>
      <c r="Y18" s="13"/>
      <c r="Z18" s="13"/>
      <c r="AA18" s="13"/>
      <c r="AB18" s="15"/>
      <c r="AC18" s="13"/>
      <c r="AD18" s="13"/>
      <c r="AE18" s="13"/>
      <c r="AF18" s="15"/>
      <c r="AG18" s="13"/>
      <c r="AH18" s="13"/>
      <c r="AI18" s="13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3"/>
    </row>
    <row r="19" s="1" customFormat="1" ht="16.5" customHeight="1" spans="1:55">
      <c r="B19" s="46" t="s">
        <v>40</v>
      </c>
      <c r="C19" s="48">
        <v>7100</v>
      </c>
      <c r="D19" s="48">
        <v>1000</v>
      </c>
      <c r="E19" s="14"/>
      <c r="F19" s="15">
        <v>2484</v>
      </c>
      <c r="G19" s="16"/>
      <c r="H19" s="15">
        <f>8100+F19</f>
        <v>10584</v>
      </c>
      <c r="I19" s="13"/>
      <c r="J19" s="13"/>
      <c r="K19" s="13"/>
      <c r="L19" s="15">
        <f>F19+8183</f>
        <v>10667</v>
      </c>
      <c r="M19" s="13"/>
      <c r="N19" s="13"/>
      <c r="O19" s="13"/>
      <c r="P19" s="20">
        <f>4781+F19</f>
        <v>7265</v>
      </c>
      <c r="Q19" s="13"/>
      <c r="R19" s="13"/>
      <c r="S19" s="13"/>
      <c r="T19" s="15"/>
      <c r="U19" s="13"/>
      <c r="V19" s="13"/>
      <c r="W19" s="13"/>
      <c r="X19" s="27"/>
      <c r="Y19" s="13"/>
      <c r="Z19" s="13"/>
      <c r="AA19" s="13"/>
      <c r="AB19" s="15"/>
      <c r="AC19" s="13"/>
      <c r="AD19" s="13"/>
      <c r="AE19" s="13"/>
      <c r="AF19" s="15"/>
      <c r="AG19" s="13"/>
      <c r="AH19" s="13"/>
      <c r="AI19" s="13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3"/>
    </row>
    <row r="20" s="1" customFormat="1" ht="16.5" customHeight="1" spans="1:55">
      <c r="B20" s="22"/>
      <c r="C20" s="48"/>
      <c r="D20" s="48"/>
      <c r="E20" s="14"/>
      <c r="F20" s="15"/>
      <c r="G20" s="16"/>
      <c r="H20" s="15"/>
      <c r="I20" s="13"/>
      <c r="J20" s="13"/>
      <c r="K20" s="13"/>
      <c r="L20" s="15"/>
      <c r="M20" s="13"/>
      <c r="N20" s="13"/>
      <c r="O20" s="13"/>
      <c r="P20" s="20"/>
      <c r="Q20" s="13"/>
      <c r="R20" s="13"/>
      <c r="S20" s="13"/>
      <c r="T20" s="15"/>
      <c r="U20" s="13"/>
      <c r="V20" s="13"/>
      <c r="W20" s="13"/>
      <c r="X20" s="27"/>
      <c r="Y20" s="13"/>
      <c r="Z20" s="13"/>
      <c r="AA20" s="13"/>
      <c r="AB20" s="15"/>
      <c r="AC20" s="13"/>
      <c r="AD20" s="13"/>
      <c r="AE20" s="13"/>
      <c r="AF20" s="15"/>
      <c r="AG20" s="13"/>
      <c r="AH20" s="13"/>
      <c r="AI20" s="13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3"/>
    </row>
    <row r="21" s="2" customFormat="1" ht="16.5" customHeight="1" spans="1:55">
      <c r="B21" s="46"/>
      <c r="C21" s="49"/>
      <c r="D21" s="49"/>
      <c r="E21" s="50"/>
      <c r="F21" s="36"/>
      <c r="G21" s="37"/>
      <c r="H21" s="36">
        <f t="shared" ref="H21:AC21" si="1">SUM(H12:H20)</f>
        <v>150655.83</v>
      </c>
      <c r="I21" s="36">
        <f t="shared" si="1"/>
        <v>0</v>
      </c>
      <c r="J21" s="36">
        <f t="shared" si="1"/>
        <v>0</v>
      </c>
      <c r="K21" s="36">
        <f t="shared" si="1"/>
        <v>223766</v>
      </c>
      <c r="L21" s="36">
        <f t="shared" si="1"/>
        <v>133778.83</v>
      </c>
      <c r="M21" s="36">
        <f t="shared" si="1"/>
        <v>0</v>
      </c>
      <c r="N21" s="36">
        <f t="shared" si="1"/>
        <v>0</v>
      </c>
      <c r="O21" s="36">
        <f t="shared" si="1"/>
        <v>0</v>
      </c>
      <c r="P21" s="36">
        <f t="shared" si="1"/>
        <v>123380.83</v>
      </c>
      <c r="Q21" s="36">
        <f t="shared" si="1"/>
        <v>4638</v>
      </c>
      <c r="R21" s="36">
        <f t="shared" si="1"/>
        <v>0</v>
      </c>
      <c r="S21" s="36">
        <f t="shared" si="1"/>
        <v>0</v>
      </c>
      <c r="T21" s="36">
        <f t="shared" si="1"/>
        <v>0</v>
      </c>
      <c r="U21" s="36">
        <f t="shared" si="1"/>
        <v>0</v>
      </c>
      <c r="V21" s="36">
        <f t="shared" si="1"/>
        <v>0</v>
      </c>
      <c r="W21" s="36">
        <f t="shared" si="1"/>
        <v>0</v>
      </c>
      <c r="X21" s="36">
        <f t="shared" si="1"/>
        <v>0</v>
      </c>
      <c r="Y21" s="36">
        <f t="shared" si="1"/>
        <v>0</v>
      </c>
      <c r="Z21" s="36">
        <f t="shared" si="1"/>
        <v>0</v>
      </c>
      <c r="AA21" s="36">
        <f t="shared" si="1"/>
        <v>0</v>
      </c>
      <c r="AB21" s="36">
        <f t="shared" si="1"/>
        <v>0</v>
      </c>
      <c r="AC21" s="36">
        <f t="shared" si="1"/>
        <v>0</v>
      </c>
      <c r="AD21" s="38"/>
      <c r="AE21" s="38"/>
      <c r="AF21" s="36"/>
      <c r="AG21" s="38"/>
      <c r="AH21" s="38"/>
      <c r="AI21" s="38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8"/>
    </row>
    <row r="22" s="1" customFormat="1" ht="16.5" customHeight="1" spans="1:55">
      <c r="B22" s="51" t="s">
        <v>41</v>
      </c>
      <c r="C22" s="51">
        <v>14100</v>
      </c>
      <c r="D22" s="51">
        <v>2000</v>
      </c>
      <c r="E22" s="23"/>
      <c r="F22" s="15">
        <v>4779</v>
      </c>
      <c r="G22" s="16"/>
      <c r="H22" s="15">
        <f>16100+F22</f>
        <v>20879</v>
      </c>
      <c r="I22" s="13"/>
      <c r="J22" s="13"/>
      <c r="K22" s="13"/>
      <c r="L22" s="15">
        <f>F22+16100</f>
        <v>20879</v>
      </c>
      <c r="M22" s="13"/>
      <c r="N22" s="13"/>
      <c r="O22" s="13">
        <v>36960</v>
      </c>
      <c r="P22" s="20">
        <f>16100+F22</f>
        <v>20879</v>
      </c>
      <c r="Q22" s="13"/>
      <c r="R22" s="13"/>
      <c r="S22" s="13"/>
      <c r="T22" s="13"/>
      <c r="U22" s="13"/>
      <c r="V22" s="13"/>
      <c r="W22" s="13"/>
      <c r="X22" s="15"/>
      <c r="Y22" s="13"/>
      <c r="Z22" s="13"/>
      <c r="AA22" s="13"/>
      <c r="AB22" s="15"/>
      <c r="AC22" s="13"/>
      <c r="AD22" s="13"/>
      <c r="AE22" s="13"/>
      <c r="AF22" s="15"/>
      <c r="AG22" s="13"/>
      <c r="AH22" s="13"/>
      <c r="AI22" s="13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3"/>
    </row>
    <row r="23" s="1" customFormat="1" ht="16.5" customHeight="1" spans="1:55">
      <c r="B23" s="51" t="s">
        <v>42</v>
      </c>
      <c r="C23" s="51">
        <v>5100</v>
      </c>
      <c r="D23" s="51">
        <v>1000</v>
      </c>
      <c r="E23" s="14"/>
      <c r="F23" s="15">
        <v>1845</v>
      </c>
      <c r="G23" s="16"/>
      <c r="H23" s="15">
        <f>6200+F23</f>
        <v>8045</v>
      </c>
      <c r="I23" s="13"/>
      <c r="J23" s="13"/>
      <c r="K23" s="13"/>
      <c r="L23" s="15">
        <f>F23+6200</f>
        <v>8045</v>
      </c>
      <c r="M23" s="13"/>
      <c r="N23" s="13"/>
      <c r="O23" s="13"/>
      <c r="P23" s="20">
        <v>6000</v>
      </c>
      <c r="Q23" s="13"/>
      <c r="R23" s="13"/>
      <c r="S23" s="13"/>
      <c r="T23" s="13"/>
      <c r="U23" s="13"/>
      <c r="V23" s="13"/>
      <c r="W23" s="13"/>
      <c r="X23" s="15"/>
      <c r="Y23" s="13"/>
      <c r="Z23" s="13"/>
      <c r="AA23" s="13"/>
      <c r="AB23" s="15"/>
      <c r="AC23" s="13"/>
      <c r="AD23" s="13"/>
      <c r="AE23" s="13"/>
      <c r="AF23" s="15"/>
      <c r="AG23" s="13"/>
      <c r="AH23" s="13"/>
      <c r="AI23" s="13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3"/>
    </row>
    <row r="24" s="2" customFormat="1" ht="16.5" customHeight="1" spans="1:55">
      <c r="B24" s="52"/>
      <c r="C24" s="52"/>
      <c r="D24" s="52"/>
      <c r="E24" s="53"/>
      <c r="F24" s="36"/>
      <c r="G24" s="37"/>
      <c r="H24" s="36">
        <f>SUM(H22:H23)</f>
        <v>28924</v>
      </c>
      <c r="I24" s="36"/>
      <c r="J24" s="36"/>
      <c r="K24" s="38"/>
      <c r="L24" s="36">
        <f t="shared" ref="L24:BC24" si="2">L22+L23</f>
        <v>28924</v>
      </c>
      <c r="M24" s="36">
        <f t="shared" si="2"/>
        <v>0</v>
      </c>
      <c r="N24" s="36">
        <f t="shared" si="2"/>
        <v>0</v>
      </c>
      <c r="O24" s="36">
        <f t="shared" si="2"/>
        <v>36960</v>
      </c>
      <c r="P24" s="36">
        <f t="shared" si="2"/>
        <v>26879</v>
      </c>
      <c r="Q24" s="36">
        <f t="shared" si="2"/>
        <v>0</v>
      </c>
      <c r="R24" s="36">
        <f t="shared" si="2"/>
        <v>0</v>
      </c>
      <c r="S24" s="36">
        <f t="shared" si="2"/>
        <v>0</v>
      </c>
      <c r="T24" s="36">
        <f t="shared" si="2"/>
        <v>0</v>
      </c>
      <c r="U24" s="36">
        <f t="shared" si="2"/>
        <v>0</v>
      </c>
      <c r="V24" s="36">
        <f t="shared" si="2"/>
        <v>0</v>
      </c>
      <c r="W24" s="36">
        <f t="shared" si="2"/>
        <v>0</v>
      </c>
      <c r="X24" s="36">
        <f t="shared" si="2"/>
        <v>0</v>
      </c>
      <c r="Y24" s="36">
        <f t="shared" si="2"/>
        <v>0</v>
      </c>
      <c r="Z24" s="36">
        <f t="shared" si="2"/>
        <v>0</v>
      </c>
      <c r="AA24" s="36">
        <f t="shared" si="2"/>
        <v>0</v>
      </c>
      <c r="AB24" s="36">
        <f t="shared" si="2"/>
        <v>0</v>
      </c>
      <c r="AC24" s="36">
        <f t="shared" si="2"/>
        <v>0</v>
      </c>
      <c r="AD24" s="36">
        <f t="shared" si="2"/>
        <v>0</v>
      </c>
      <c r="AE24" s="36">
        <f t="shared" si="2"/>
        <v>0</v>
      </c>
      <c r="AF24" s="36">
        <f t="shared" si="2"/>
        <v>0</v>
      </c>
      <c r="AG24" s="36">
        <f t="shared" si="2"/>
        <v>0</v>
      </c>
      <c r="AH24" s="36">
        <f t="shared" si="2"/>
        <v>0</v>
      </c>
      <c r="AI24" s="36">
        <f t="shared" si="2"/>
        <v>0</v>
      </c>
      <c r="AJ24" s="36">
        <f t="shared" si="2"/>
        <v>0</v>
      </c>
      <c r="AK24" s="36">
        <f t="shared" si="2"/>
        <v>0</v>
      </c>
      <c r="AL24" s="36">
        <f t="shared" si="2"/>
        <v>0</v>
      </c>
      <c r="AM24" s="36">
        <f t="shared" si="2"/>
        <v>0</v>
      </c>
      <c r="AN24" s="36">
        <f t="shared" si="2"/>
        <v>0</v>
      </c>
      <c r="AO24" s="36">
        <f t="shared" si="2"/>
        <v>0</v>
      </c>
      <c r="AP24" s="36">
        <f t="shared" si="2"/>
        <v>0</v>
      </c>
      <c r="AQ24" s="36">
        <f t="shared" si="2"/>
        <v>0</v>
      </c>
      <c r="AR24" s="36">
        <f t="shared" si="2"/>
        <v>0</v>
      </c>
      <c r="AS24" s="36">
        <f t="shared" si="2"/>
        <v>0</v>
      </c>
      <c r="AT24" s="36">
        <f t="shared" si="2"/>
        <v>0</v>
      </c>
      <c r="AU24" s="36">
        <f t="shared" si="2"/>
        <v>0</v>
      </c>
      <c r="AV24" s="36">
        <f t="shared" si="2"/>
        <v>0</v>
      </c>
      <c r="AW24" s="36">
        <f t="shared" si="2"/>
        <v>0</v>
      </c>
      <c r="AX24" s="36">
        <f t="shared" si="2"/>
        <v>0</v>
      </c>
      <c r="AY24" s="36">
        <f t="shared" si="2"/>
        <v>0</v>
      </c>
      <c r="AZ24" s="36">
        <f t="shared" si="2"/>
        <v>0</v>
      </c>
      <c r="BA24" s="36">
        <f t="shared" si="2"/>
        <v>0</v>
      </c>
      <c r="BB24" s="36">
        <f t="shared" si="2"/>
        <v>0</v>
      </c>
      <c r="BC24" s="36">
        <f t="shared" si="2"/>
        <v>0</v>
      </c>
    </row>
    <row r="25" s="1" customFormat="1" ht="16.5" customHeight="1" spans="1:55">
      <c r="B25" s="51" t="s">
        <v>43</v>
      </c>
      <c r="C25" s="51">
        <v>18100</v>
      </c>
      <c r="D25" s="51"/>
      <c r="E25" s="54"/>
      <c r="F25" s="15">
        <v>6374.26</v>
      </c>
      <c r="G25" s="16"/>
      <c r="H25" s="15">
        <f>18100+F25</f>
        <v>24474.26</v>
      </c>
      <c r="I25" s="13">
        <v>12107</v>
      </c>
      <c r="J25" s="13"/>
      <c r="K25" s="13"/>
      <c r="L25" s="15">
        <v>24474.26</v>
      </c>
      <c r="M25" s="13">
        <v>2656</v>
      </c>
      <c r="N25" s="13"/>
      <c r="O25" s="13"/>
      <c r="P25" s="20">
        <v>24474.26</v>
      </c>
      <c r="Q25" s="13">
        <v>19586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27"/>
      <c r="AC25" s="13"/>
      <c r="AD25" s="13"/>
      <c r="AE25" s="13"/>
      <c r="AF25" s="15"/>
      <c r="AG25" s="13"/>
      <c r="AH25" s="13"/>
      <c r="AI25" s="13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3"/>
    </row>
    <row r="26" s="1" customFormat="1" ht="16.5" customHeight="1" spans="1:55">
      <c r="B26" s="51" t="s">
        <v>44</v>
      </c>
      <c r="C26" s="51">
        <v>10100</v>
      </c>
      <c r="D26" s="51"/>
      <c r="E26" s="54"/>
      <c r="F26" s="15">
        <v>6384.26</v>
      </c>
      <c r="G26" s="16"/>
      <c r="H26" s="15">
        <f>10100+F26</f>
        <v>16484.26</v>
      </c>
      <c r="I26" s="13"/>
      <c r="J26" s="13"/>
      <c r="K26" s="13"/>
      <c r="L26" s="15">
        <v>16484.26</v>
      </c>
      <c r="M26" s="13">
        <v>4243</v>
      </c>
      <c r="N26" s="13"/>
      <c r="O26" s="13"/>
      <c r="P26" s="20">
        <v>16484.26</v>
      </c>
      <c r="Q26" s="13">
        <v>5184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27"/>
      <c r="AC26" s="13"/>
      <c r="AD26" s="13"/>
      <c r="AE26" s="13"/>
      <c r="AF26" s="15"/>
      <c r="AG26" s="13"/>
      <c r="AH26" s="13"/>
      <c r="AI26" s="13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3"/>
    </row>
    <row r="27" s="1" customFormat="1" ht="16.5" customHeight="1" spans="1:55">
      <c r="B27" s="51" t="s">
        <v>45</v>
      </c>
      <c r="C27" s="51">
        <v>7100</v>
      </c>
      <c r="D27" s="51"/>
      <c r="E27" s="54"/>
      <c r="F27" s="15">
        <v>2992.26</v>
      </c>
      <c r="G27" s="16"/>
      <c r="H27" s="15">
        <f>7100+F27</f>
        <v>10092.26</v>
      </c>
      <c r="I27" s="13">
        <f>62+35</f>
        <v>97</v>
      </c>
      <c r="J27" s="13"/>
      <c r="K27" s="13"/>
      <c r="L27" s="15">
        <v>10092.26</v>
      </c>
      <c r="M27" s="13"/>
      <c r="N27" s="13"/>
      <c r="O27" s="13">
        <v>14000</v>
      </c>
      <c r="P27" s="20">
        <v>10092.26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27"/>
      <c r="AC27" s="13"/>
      <c r="AD27" s="13"/>
      <c r="AE27" s="13"/>
      <c r="AF27" s="13"/>
      <c r="AG27" s="13"/>
      <c r="AH27" s="13"/>
      <c r="AI27" s="13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3"/>
    </row>
    <row r="28" s="1" customFormat="1" ht="16.5" customHeight="1" spans="1:55">
      <c r="B28" s="51" t="s">
        <v>46</v>
      </c>
      <c r="C28" s="51">
        <v>9100</v>
      </c>
      <c r="D28" s="51">
        <v>3000</v>
      </c>
      <c r="E28" s="54"/>
      <c r="F28" s="15">
        <v>3068.8</v>
      </c>
      <c r="G28" s="55"/>
      <c r="H28" s="15">
        <f>12100+F28</f>
        <v>15168.8</v>
      </c>
      <c r="I28" s="13"/>
      <c r="J28" s="13">
        <v>73</v>
      </c>
      <c r="K28" s="13"/>
      <c r="L28" s="15">
        <v>15168.8</v>
      </c>
      <c r="M28" s="13"/>
      <c r="N28" s="13"/>
      <c r="O28" s="13">
        <v>18480</v>
      </c>
      <c r="P28" s="20">
        <v>15168.8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5"/>
      <c r="AC28" s="13"/>
      <c r="AD28" s="13"/>
      <c r="AE28" s="13"/>
      <c r="AF28" s="15"/>
      <c r="AG28" s="13"/>
      <c r="AH28" s="13"/>
      <c r="AI28" s="13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3"/>
    </row>
    <row r="29" s="1" customFormat="1" ht="16.5" customHeight="1" spans="1:55">
      <c r="B29" s="51" t="s">
        <v>47</v>
      </c>
      <c r="C29" s="51">
        <v>15100</v>
      </c>
      <c r="D29" s="51">
        <v>5000</v>
      </c>
      <c r="E29" s="54">
        <v>5000</v>
      </c>
      <c r="F29" s="15">
        <v>5363</v>
      </c>
      <c r="G29" s="16"/>
      <c r="H29" s="15">
        <f>25100+F29</f>
        <v>30463</v>
      </c>
      <c r="I29" s="13"/>
      <c r="J29" s="13"/>
      <c r="K29" s="13"/>
      <c r="L29" s="15">
        <v>30463</v>
      </c>
      <c r="M29" s="13"/>
      <c r="N29" s="13"/>
      <c r="O29" s="1">
        <v>36960</v>
      </c>
      <c r="P29" s="20">
        <v>30463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5"/>
      <c r="AC29" s="13"/>
      <c r="AD29" s="13"/>
      <c r="AE29" s="13"/>
      <c r="AF29" s="15"/>
      <c r="AG29" s="13"/>
      <c r="AH29" s="13"/>
      <c r="AI29" s="13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3"/>
    </row>
    <row r="30" s="3" customFormat="1" ht="16.5" customHeight="1" spans="1:55">
      <c r="H30" s="56">
        <f t="shared" ref="H30:W30" si="3">SUM(H25:H29)</f>
        <v>96682.58</v>
      </c>
      <c r="I30" s="56">
        <f t="shared" si="3"/>
        <v>12204</v>
      </c>
      <c r="J30" s="56">
        <f t="shared" si="3"/>
        <v>73</v>
      </c>
      <c r="K30" s="56">
        <f t="shared" si="3"/>
        <v>0</v>
      </c>
      <c r="L30" s="56">
        <f t="shared" si="3"/>
        <v>96682.58</v>
      </c>
      <c r="M30" s="56">
        <f t="shared" si="3"/>
        <v>6899</v>
      </c>
      <c r="N30" s="56">
        <f t="shared" si="3"/>
        <v>0</v>
      </c>
      <c r="O30" s="56">
        <f t="shared" si="3"/>
        <v>69440</v>
      </c>
      <c r="P30" s="56">
        <f t="shared" si="3"/>
        <v>96682.58</v>
      </c>
      <c r="Q30" s="56">
        <f t="shared" si="3"/>
        <v>24770</v>
      </c>
      <c r="R30" s="56">
        <f t="shared" si="3"/>
        <v>0</v>
      </c>
      <c r="S30" s="56">
        <f t="shared" si="3"/>
        <v>0</v>
      </c>
      <c r="T30" s="56">
        <f t="shared" si="3"/>
        <v>0</v>
      </c>
      <c r="U30" s="56">
        <f t="shared" si="3"/>
        <v>0</v>
      </c>
      <c r="V30" s="56">
        <f t="shared" si="3"/>
        <v>0</v>
      </c>
      <c r="W30" s="56">
        <f t="shared" si="3"/>
        <v>0</v>
      </c>
      <c r="X30" s="57"/>
      <c r="Y30" s="57"/>
      <c r="Z30" s="57"/>
      <c r="AA30" s="57"/>
      <c r="AB30" s="58"/>
      <c r="AC30" s="57"/>
      <c r="AD30" s="57"/>
      <c r="AE30" s="57"/>
      <c r="AF30" s="56"/>
      <c r="AG30" s="57"/>
      <c r="AH30" s="57"/>
      <c r="AI30" s="57"/>
      <c r="AJ30" s="59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7"/>
    </row>
    <row r="31" spans="1:55">
      <c r="I31" s="5">
        <f t="shared" ref="I31:N31" si="4">SUM(I30+I24+I21+I11)</f>
        <v>12204</v>
      </c>
      <c r="J31" s="5">
        <f t="shared" si="4"/>
        <v>2572.8</v>
      </c>
      <c r="K31" s="5">
        <f>K21+K11+K30</f>
        <v>580374</v>
      </c>
      <c r="M31" s="5">
        <f t="shared" si="4"/>
        <v>11266</v>
      </c>
      <c r="N31" s="5">
        <f t="shared" si="4"/>
        <v>0</v>
      </c>
      <c r="O31" s="5">
        <f t="shared" ref="O31:AB31" si="5">O30+O24+O21+O11</f>
        <v>106400</v>
      </c>
      <c r="P31" s="5"/>
      <c r="Q31" s="5">
        <f t="shared" si="5"/>
        <v>29408</v>
      </c>
      <c r="R31" s="5">
        <f t="shared" si="5"/>
        <v>2778</v>
      </c>
      <c r="S31" s="5">
        <f t="shared" si="5"/>
        <v>103625</v>
      </c>
      <c r="T31" s="5">
        <f t="shared" si="5"/>
        <v>0</v>
      </c>
      <c r="U31" s="5">
        <f t="shared" si="5"/>
        <v>0</v>
      </c>
      <c r="V31" s="5">
        <f t="shared" si="5"/>
        <v>0</v>
      </c>
      <c r="W31" s="5">
        <f t="shared" si="5"/>
        <v>0</v>
      </c>
      <c r="X31" s="5">
        <f t="shared" si="5"/>
        <v>0</v>
      </c>
      <c r="Y31" s="5">
        <f t="shared" si="5"/>
        <v>0</v>
      </c>
      <c r="Z31" s="5">
        <f t="shared" si="5"/>
        <v>0</v>
      </c>
      <c r="AA31" s="5">
        <f t="shared" si="5"/>
        <v>0</v>
      </c>
      <c r="AB31" s="5">
        <f t="shared" si="5"/>
        <v>0</v>
      </c>
    </row>
  </sheetData>
  <mergeCells count="14"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A2:A11"/>
    <mergeCell ref="A12:A1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黄铮</cp:lastModifiedBy>
  <dcterms:created xsi:type="dcterms:W3CDTF">2026-04-15T03:19:21Z</dcterms:created>
  <dcterms:modified xsi:type="dcterms:W3CDTF">2026-04-15T03:20:59Z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F3259C7609A64E77A2A2BB38C975FC07_11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